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metadata.xml" ContentType="application/vnd.openxmlformats-officedocument.spreadsheetml.sheetMetadata+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5"/>
    <sheet name="Cronograma Octubre" sheetId="2" r:id="rId6"/>
    <sheet name="Disponibilidad Analistas" sheetId="3" r:id="rId7"/>
    <sheet name="Resumen por Analista" sheetId="4" r:id="rId8"/>
  </sheets>
</workbook>
</file>

<file path=xl/metadata.xml><?xml version="1.0" encoding="utf-8"?>
<metadata xmlns:xda="http://schemas.microsoft.com/office/spreadsheetml/2017/dynamicarray"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<sst xmlns="http://schemas.openxmlformats.org/spreadsheetml/2006/main" uniqueCount="104">
  <si>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</si>
  <si>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</si>
  <si>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</si>
  <si>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</si>
  <si>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Cronograma Octubre</t>
  </si>
  <si>
    <t>Table 1</t>
  </si>
  <si>
    <t>N°</t>
  </si>
  <si>
    <t>Unidad Académica</t>
  </si>
  <si>
    <t>Jornada N°</t>
  </si>
  <si>
    <t>Fecha</t>
  </si>
  <si>
    <t>Día</t>
  </si>
  <si>
    <t>Horario</t>
  </si>
  <si>
    <t>Analista UPE</t>
  </si>
  <si>
    <t>Analista DAC (acompañante)</t>
  </si>
  <si>
    <t>Sala N°</t>
  </si>
  <si>
    <t>Capacidad Sala</t>
  </si>
  <si>
    <t>Facultad de Humanidades</t>
  </si>
  <si>
    <t>05-10-2026</t>
  </si>
  <si>
    <t>Lunes</t>
  </si>
  <si>
    <t>09:00 - 17:00</t>
  </si>
  <si>
    <t>Camilo</t>
  </si>
  <si>
    <t>Sala 1</t>
  </si>
  <si>
    <t>Facultad de Ingeniería</t>
  </si>
  <si>
    <t>Gabriela</t>
  </si>
  <si>
    <t>Sala 2</t>
  </si>
  <si>
    <t>Facultad de Ciencia</t>
  </si>
  <si>
    <t>Juan</t>
  </si>
  <si>
    <t>Sala 3</t>
  </si>
  <si>
    <t>Facultad de Ciencias Médicas</t>
  </si>
  <si>
    <t>Loreto</t>
  </si>
  <si>
    <t>Sala 4</t>
  </si>
  <si>
    <t>Facultad de Derecho</t>
  </si>
  <si>
    <t>06-10-2026</t>
  </si>
  <si>
    <t>Martes</t>
  </si>
  <si>
    <t>Facultad de Administración y Economía</t>
  </si>
  <si>
    <t>Facultad de Arquitectura y Ambiente Construido</t>
  </si>
  <si>
    <t>Facultad de Química y Biología</t>
  </si>
  <si>
    <t>Facultad Tecnológica</t>
  </si>
  <si>
    <t>07-10-2026</t>
  </si>
  <si>
    <t>Miércoles</t>
  </si>
  <si>
    <t>Departamento de Administración</t>
  </si>
  <si>
    <t>Departamento de Contabilidad y Auditoría</t>
  </si>
  <si>
    <t>Departamento de Economía</t>
  </si>
  <si>
    <t>Solange</t>
  </si>
  <si>
    <t>Departamento de Educación</t>
  </si>
  <si>
    <t>08-10-2026</t>
  </si>
  <si>
    <t>Jueves</t>
  </si>
  <si>
    <t>Departamento de Estudios Políticos</t>
  </si>
  <si>
    <t>Departamento de Filosofía</t>
  </si>
  <si>
    <t>Departamento de Física</t>
  </si>
  <si>
    <t>Departamento de Gestión Agraria</t>
  </si>
  <si>
    <t>09-10-2026</t>
  </si>
  <si>
    <t>Viernes</t>
  </si>
  <si>
    <t>Departamento de Historia</t>
  </si>
  <si>
    <t>Departamento de Ingeniería Eléctrica</t>
  </si>
  <si>
    <t>Departamento de Ingeniería en Minas</t>
  </si>
  <si>
    <t>13-10-2026</t>
  </si>
  <si>
    <t>Departamento de Ingeniería en Obras Civiles</t>
  </si>
  <si>
    <t>Departamento de Ingeniería Geoespacial y Ambiental</t>
  </si>
  <si>
    <t>Departamento de Ingeniería Industrial</t>
  </si>
  <si>
    <t>Departamento de Ingeniería Informática</t>
  </si>
  <si>
    <t>14-10-2026</t>
  </si>
  <si>
    <t>Departamento de Ingeniería Mecánica</t>
  </si>
  <si>
    <t>Departamento de Ingeniería Metalúrgica</t>
  </si>
  <si>
    <t>Departamento de Ingeniería Química y Bioprocesos</t>
  </si>
  <si>
    <t>Departamento de Ingenierías Multidisciplinares</t>
  </si>
  <si>
    <t>15-10-2026</t>
  </si>
  <si>
    <t>Departamento de Lingüística y Literatura</t>
  </si>
  <si>
    <t>Departamento de Matemática y Ciencia de la Computación</t>
  </si>
  <si>
    <t>Departamento de Publicidad e Imagen</t>
  </si>
  <si>
    <t>Departamento de Tecnologías de Gestión</t>
  </si>
  <si>
    <t>16-10-2026</t>
  </si>
  <si>
    <t>Departamento de Tecnologías Industriales</t>
  </si>
  <si>
    <t>Departamento Gestión y Políticas Públicas</t>
  </si>
  <si>
    <t>Escuela Ciencias de la Actividad Física, el Deporte y la Salud (Eciades)</t>
  </si>
  <si>
    <t>19-10-2026</t>
  </si>
  <si>
    <t>Escuela de Arquitectura</t>
  </si>
  <si>
    <t>Escuela de Enfermería</t>
  </si>
  <si>
    <t>Escuela de Kinesiología</t>
  </si>
  <si>
    <t>Escuela de Medicina</t>
  </si>
  <si>
    <t>20-10-2026</t>
  </si>
  <si>
    <t>Escuela de Obstetricia y Puericultura</t>
  </si>
  <si>
    <t>Escuela de Periodismo</t>
  </si>
  <si>
    <t>Escuela de Psicología</t>
  </si>
  <si>
    <t>21-10-2026</t>
  </si>
  <si>
    <t>Escuela de Terapia Ocupacional</t>
  </si>
  <si>
    <t>Instituto de Estudios Avanzados (IDEA)</t>
  </si>
  <si>
    <t>Programa de Bachillerato</t>
  </si>
  <si>
    <t>22-10-2026</t>
  </si>
  <si>
    <t>Disponibilidad Analistas</t>
  </si>
  <si>
    <t>Analistas disponibles (presencial)</t>
  </si>
  <si>
    <t>N° unidades esa jornada</t>
  </si>
  <si>
    <t>Analista en teletrabajo</t>
  </si>
  <si>
    <t>Camilo, Gabriela, Juan, Loreto</t>
  </si>
  <si>
    <t>Camilo, Juan, Loreto, Solange</t>
  </si>
  <si>
    <t>Camilo, Gabriela, Juan, Loreto, Solange</t>
  </si>
  <si>
    <t>—</t>
  </si>
  <si>
    <t>Gabriela, Loreto, Solange</t>
  </si>
  <si>
    <t>Camilo, Juan</t>
  </si>
  <si>
    <t>Camilo, Gabriela, Juan, Solange</t>
  </si>
  <si>
    <t>Resumen por Analista</t>
  </si>
  <si>
    <t>Analista</t>
  </si>
  <si>
    <t>Unidades asignadas (mes)</t>
  </si>
  <si>
    <t>Total</t>
  </si>
</sst>
</file>

<file path=xl/styles.xml><?xml version="1.0" encoding="utf-8"?>
<styleSheet xmlns="http://schemas.openxmlformats.org/spreadsheetml/2006/main">
  <numFmts count="1">
    <numFmt numFmtId="0" formatCode="General"/>
  </numFmts>
  <fonts count="11">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2"/>
      <color indexed="12"/>
      <name val="Arial"/>
    </font>
    <font>
      <sz val="10"/>
      <color indexed="8"/>
      <name val="Arial"/>
    </font>
    <font>
      <b val="1"/>
      <sz val="11"/>
      <color indexed="12"/>
      <name val="Arial"/>
    </font>
    <font>
      <i val="1"/>
      <sz val="9"/>
      <color indexed="8"/>
      <name val="Arial"/>
    </font>
    <font>
      <b val="1"/>
      <sz val="10"/>
      <color indexed="8"/>
      <name val="Arial"/>
    </font>
  </fonts>
  <fills count="8">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6"/>
        <bgColor auto="1"/>
      </patternFill>
    </fill>
    <fill>
      <patternFill patternType="solid">
        <fgColor indexed="12"/>
        <bgColor auto="1"/>
      </patternFill>
    </fill>
  </fills>
  <borders count="15">
    <border>
      <left/>
      <right/>
      <top/>
      <bottom/>
      <diagonal/>
    </border>
    <border>
      <left style="thin">
        <color indexed="14"/>
      </left>
      <right style="thin">
        <color indexed="14"/>
      </right>
      <top style="thin">
        <color indexed="14"/>
      </top>
      <bottom style="thin">
        <color indexed="14"/>
      </bottom>
      <diagonal/>
    </border>
    <border>
      <left style="thin">
        <color indexed="17"/>
      </left>
      <right/>
      <top style="thin">
        <color indexed="14"/>
      </top>
      <bottom/>
      <diagonal/>
    </border>
    <border>
      <left/>
      <right/>
      <top style="thin">
        <color indexed="14"/>
      </top>
      <bottom/>
      <diagonal/>
    </border>
    <border>
      <left/>
      <right style="thin">
        <color indexed="17"/>
      </right>
      <top style="thin">
        <color indexed="14"/>
      </top>
      <bottom/>
      <diagonal/>
    </border>
    <border>
      <left style="thin">
        <color indexed="17"/>
      </left>
      <right/>
      <top/>
      <bottom/>
      <diagonal/>
    </border>
    <border>
      <left/>
      <right/>
      <top/>
      <bottom/>
      <diagonal/>
    </border>
    <border>
      <left/>
      <right style="thin">
        <color indexed="17"/>
      </right>
      <top/>
      <bottom/>
      <diagonal/>
    </border>
    <border>
      <left style="thin">
        <color indexed="17"/>
      </left>
      <right/>
      <top/>
      <bottom style="thin">
        <color indexed="17"/>
      </bottom>
      <diagonal/>
    </border>
    <border>
      <left/>
      <right/>
      <top/>
      <bottom style="thin">
        <color indexed="17"/>
      </bottom>
      <diagonal/>
    </border>
    <border>
      <left/>
      <right style="thin">
        <color indexed="17"/>
      </right>
      <top/>
      <bottom style="thin">
        <color indexed="17"/>
      </bottom>
      <diagonal/>
    </border>
    <border>
      <left style="thin">
        <color indexed="14"/>
      </left>
      <right/>
      <top style="thin">
        <color indexed="17"/>
      </top>
      <bottom/>
      <diagonal/>
    </border>
    <border>
      <left/>
      <right/>
      <top style="thin">
        <color indexed="17"/>
      </top>
      <bottom/>
      <diagonal/>
    </border>
    <border>
      <left/>
      <right style="thin">
        <color indexed="17"/>
      </right>
      <top style="thin">
        <color indexed="17"/>
      </top>
      <bottom/>
      <diagonal/>
    </border>
    <border>
      <left style="thin">
        <color indexed="14"/>
      </left>
      <right/>
      <top/>
      <bottom/>
      <diagonal/>
    </border>
  </borders>
  <cellStyleXfs count="1">
    <xf numFmtId="0" fontId="0" applyNumberFormat="0" applyFont="1" applyFill="0" applyBorder="0" applyAlignment="1" applyProtection="0">
      <alignment vertical="bottom"/>
    </xf>
  </cellStyleXfs>
  <cellXfs count="46">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49" fontId="6" fillId="4" borderId="1" applyNumberFormat="1" applyFont="1" applyFill="1" applyBorder="1" applyAlignment="1" applyProtection="0">
      <alignment horizontal="center" vertical="center" wrapText="1"/>
    </xf>
    <xf numFmtId="0" fontId="7" fillId="5" borderId="1" applyNumberFormat="1" applyFont="1" applyFill="1" applyBorder="1" applyAlignment="1" applyProtection="0">
      <alignment horizontal="center" vertical="center"/>
    </xf>
    <xf numFmtId="49" fontId="7" fillId="5" borderId="1" applyNumberFormat="1" applyFont="1" applyFill="1" applyBorder="1" applyAlignment="1" applyProtection="0">
      <alignment horizontal="left" vertical="center"/>
    </xf>
    <xf numFmtId="49" fontId="7" fillId="5" borderId="1" applyNumberFormat="1" applyFont="1" applyFill="1" applyBorder="1" applyAlignment="1" applyProtection="0">
      <alignment horizontal="center" vertical="center"/>
    </xf>
    <xf numFmtId="0" fontId="7" fillId="5" borderId="1" applyNumberFormat="0" applyFont="1" applyFill="1" applyBorder="1" applyAlignment="1" applyProtection="0">
      <alignment horizontal="center" vertical="center"/>
    </xf>
    <xf numFmtId="0" fontId="7" fillId="6" borderId="1" applyNumberFormat="1" applyFont="1" applyFill="1" applyBorder="1" applyAlignment="1" applyProtection="0">
      <alignment horizontal="center" vertical="center"/>
    </xf>
    <xf numFmtId="49" fontId="7" fillId="6" borderId="1" applyNumberFormat="1" applyFont="1" applyFill="1" applyBorder="1" applyAlignment="1" applyProtection="0">
      <alignment horizontal="left" vertical="center"/>
    </xf>
    <xf numFmtId="49" fontId="7" fillId="6" borderId="1" applyNumberFormat="1" applyFont="1" applyFill="1" applyBorder="1" applyAlignment="1" applyProtection="0">
      <alignment horizontal="center" vertical="center"/>
    </xf>
    <xf numFmtId="0" fontId="7" fillId="6" borderId="1" applyNumberFormat="0" applyFont="1" applyFill="1" applyBorder="1" applyAlignment="1" applyProtection="0">
      <alignment horizontal="center" vertical="center"/>
    </xf>
    <xf numFmtId="49" fontId="7" fillId="7" borderId="1" applyNumberFormat="1" applyFont="1" applyFill="1" applyBorder="1" applyAlignment="1" applyProtection="0">
      <alignment horizontal="left" vertical="center"/>
    </xf>
    <xf numFmtId="0" fontId="7" fillId="7" borderId="1" applyNumberFormat="1" applyFont="1" applyFill="1" applyBorder="1" applyAlignment="1" applyProtection="0">
      <alignment horizontal="center" vertical="center"/>
    </xf>
    <xf numFmtId="49" fontId="7" fillId="7" borderId="1" applyNumberFormat="1" applyFont="1" applyFill="1" applyBorder="1" applyAlignment="1" applyProtection="0">
      <alignment horizontal="center" vertical="center"/>
    </xf>
    <xf numFmtId="0" fontId="7" fillId="7" borderId="1" applyNumberFormat="0" applyFont="1" applyFill="1" applyBorder="1" applyAlignment="1" applyProtection="0">
      <alignment horizontal="center" vertical="center"/>
    </xf>
    <xf numFmtId="0" fontId="7" fillId="5" borderId="1" applyNumberFormat="0" applyFont="1" applyFill="1" applyBorder="1" applyAlignment="1" applyProtection="0">
      <alignment horizontal="left" vertical="center"/>
    </xf>
    <xf numFmtId="0" fontId="0" applyNumberFormat="1" applyFont="1" applyFill="0" applyBorder="0" applyAlignment="1" applyProtection="0">
      <alignment vertical="bottom"/>
    </xf>
    <xf numFmtId="49" fontId="8" fillId="4" borderId="1" applyNumberFormat="1" applyFont="1" applyFill="1" applyBorder="1" applyAlignment="1" applyProtection="0">
      <alignment horizontal="center" vertical="center" wrapText="1"/>
    </xf>
    <xf numFmtId="49" fontId="7" borderId="1" applyNumberFormat="1" applyFont="1" applyFill="0" applyBorder="1" applyAlignment="1" applyProtection="0">
      <alignment horizontal="center" vertical="bottom"/>
    </xf>
    <xf numFmtId="49" fontId="7" borderId="1" applyNumberFormat="1" applyFont="1" applyFill="0" applyBorder="1" applyAlignment="1" applyProtection="0">
      <alignment horizontal="left" vertical="bottom"/>
    </xf>
    <xf numFmtId="0" fontId="7" borderId="1" applyNumberFormat="1" applyFont="1" applyFill="0" applyBorder="1" applyAlignment="1" applyProtection="0">
      <alignment horizontal="center" vertical="bottom"/>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borderId="4" applyNumberFormat="0" applyFont="1" applyFill="0" applyBorder="1" applyAlignment="1" applyProtection="0">
      <alignment vertical="bottom"/>
    </xf>
    <xf numFmtId="0" fontId="9" borderId="5" applyNumberFormat="0" applyFont="1" applyFill="0" applyBorder="1" applyAlignment="1" applyProtection="0">
      <alignment vertical="bottom"/>
    </xf>
    <xf numFmtId="0" fontId="0" borderId="6" applyNumberFormat="0" applyFont="1" applyFill="0" applyBorder="1" applyAlignment="1" applyProtection="0">
      <alignment vertical="bottom"/>
    </xf>
    <xf numFmtId="0" fontId="0" borderId="7" applyNumberFormat="0" applyFont="1" applyFill="0" applyBorder="1" applyAlignment="1" applyProtection="0">
      <alignment vertical="bottom"/>
    </xf>
    <xf numFmtId="0" fontId="0" borderId="5" applyNumberFormat="0" applyFont="1" applyFill="0" applyBorder="1" applyAlignment="1" applyProtection="0">
      <alignment vertical="bottom"/>
    </xf>
    <xf numFmtId="0" fontId="0" borderId="8" applyNumberFormat="0" applyFont="1" applyFill="0" applyBorder="1" applyAlignment="1" applyProtection="0">
      <alignment vertical="bottom"/>
    </xf>
    <xf numFmtId="0" fontId="0" borderId="9" applyNumberFormat="0" applyFont="1" applyFill="0" applyBorder="1" applyAlignment="1" applyProtection="0">
      <alignment vertical="bottom"/>
    </xf>
    <xf numFmtId="0" fontId="0" fillId="7" borderId="10" applyNumberFormat="0" applyFont="1" applyFill="1" applyBorder="1" applyAlignment="1" applyProtection="0">
      <alignment vertical="bottom" wrapText="1"/>
    </xf>
    <xf numFmtId="0" fontId="0" applyNumberFormat="1" applyFont="1" applyFill="0" applyBorder="0" applyAlignment="1" applyProtection="0">
      <alignment vertical="bottom"/>
    </xf>
    <xf numFmtId="0" fontId="0" fillId="7" borderId="11" applyNumberFormat="0" applyFont="1" applyFill="1" applyBorder="1" applyAlignment="1" applyProtection="0">
      <alignment vertical="bottom" wrapText="1"/>
    </xf>
    <xf numFmtId="0" fontId="0" fillId="7" borderId="12" applyNumberFormat="0" applyFont="1" applyFill="1" applyBorder="1" applyAlignment="1" applyProtection="0">
      <alignment vertical="bottom" wrapText="1"/>
    </xf>
    <xf numFmtId="0" fontId="0" fillId="7" borderId="13" applyNumberFormat="0" applyFont="1" applyFill="1" applyBorder="1" applyAlignment="1" applyProtection="0">
      <alignment vertical="bottom" wrapText="1"/>
    </xf>
    <xf numFmtId="49" fontId="7" borderId="1" applyNumberFormat="1" applyFont="1" applyFill="0" applyBorder="1" applyAlignment="1" applyProtection="0">
      <alignment vertical="bottom"/>
    </xf>
    <xf numFmtId="0" fontId="0" borderId="14" applyNumberFormat="0" applyFont="1" applyFill="0" applyBorder="1" applyAlignment="1" applyProtection="0">
      <alignment vertical="bottom"/>
    </xf>
    <xf numFmtId="49" fontId="10" borderId="1" applyNumberFormat="1" applyFont="1" applyFill="0" applyBorder="1" applyAlignment="1" applyProtection="0">
      <alignment vertical="bottom"/>
    </xf>
    <xf numFmtId="0" fontId="10" borderId="1" applyNumberFormat="1" applyFont="1" applyFill="0" applyBorder="1" applyAlignment="1" applyProtection="0">
      <alignment horizontal="center" vertical="bottom"/>
    </xf>
    <xf numFmtId="0" fontId="0" borderId="10"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1f4e78"/>
      <rgbColor rgb="ffb7b7b7"/>
      <rgbColor rgb="ffc6d9f0"/>
      <rgbColor rgb="fff2f2f2"/>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heetMetadata" Target="metadata.xml"/><Relationship Id="rId3" Type="http://schemas.openxmlformats.org/officeDocument/2006/relationships/styles" Target="styles.xml"/><Relationship Id="rId4" Type="http://schemas.openxmlformats.org/officeDocument/2006/relationships/theme" Target="theme/them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89</v>
      </c>
      <c r="C11" s="3"/>
      <c r="D11" s="3"/>
    </row>
    <row r="12">
      <c r="B12" s="4"/>
      <c r="C12" t="s" s="4">
        <v>5</v>
      </c>
      <c r="D12" t="s" s="5">
        <v>89</v>
      </c>
    </row>
    <row r="13">
      <c r="B13" t="s" s="3">
        <v>100</v>
      </c>
      <c r="C13" s="3"/>
      <c r="D13" s="3"/>
    </row>
    <row r="14">
      <c r="B14" s="4"/>
      <c r="C14" t="s" s="4">
        <v>5</v>
      </c>
      <c r="D14" t="s" s="5">
        <v>100</v>
      </c>
    </row>
  </sheetData>
  <mergeCells count="1">
    <mergeCell ref="B3:D3"/>
  </mergeCells>
  <hyperlinks>
    <hyperlink ref="D10" location="'Cronograma Octubre'!R1C1" tooltip="" display="Cronograma Octubre"/>
    <hyperlink ref="D12" location="'Disponibilidad Analistas'!R1C1" tooltip="" display="Disponibilidad Analistas"/>
    <hyperlink ref="D14" location="'Resumen por Analista'!R1C1" tooltip="" display="Resumen por Analista"/>
  </hyperlinks>
</worksheet>
</file>

<file path=xl/worksheets/sheet2.xml><?xml version="1.0" encoding="utf-8"?>
<worksheet xmlns:r="http://schemas.openxmlformats.org/officeDocument/2006/relationships" xmlns="http://schemas.openxmlformats.org/spreadsheetml/2006/main">
  <dimension ref="A1:J48"/>
  <sheetViews>
    <sheetView workbookViewId="0" showGridLines="0" defaultGridColor="1"/>
  </sheetViews>
  <sheetFormatPr defaultColWidth="14.5" defaultRowHeight="15" customHeight="1" outlineLevelRow="0" outlineLevelCol="0"/>
  <cols>
    <col min="1" max="1" width="6" style="6" customWidth="1"/>
    <col min="2" max="2" width="52" style="6" customWidth="1"/>
    <col min="3" max="3" width="10.6719" style="6" customWidth="1"/>
    <col min="4" max="8" width="20.6719" style="6" customWidth="1"/>
    <col min="9" max="9" width="14.1719" style="6" customWidth="1"/>
    <col min="10" max="10" width="13.5" style="6" customWidth="1"/>
    <col min="11" max="16384" width="14.5" style="6" customWidth="1"/>
  </cols>
  <sheetData>
    <row r="1" ht="30" customHeight="1">
      <c r="A1" t="s" s="7">
        <v>6</v>
      </c>
      <c r="B1" t="s" s="7">
        <v>7</v>
      </c>
      <c r="C1" t="s" s="8">
        <v>8</v>
      </c>
      <c r="D1" t="s" s="7">
        <v>9</v>
      </c>
      <c r="E1" t="s" s="7">
        <v>10</v>
      </c>
      <c r="F1" t="s" s="7">
        <v>11</v>
      </c>
      <c r="G1" t="s" s="7">
        <v>12</v>
      </c>
      <c r="H1" t="s" s="8">
        <v>13</v>
      </c>
      <c r="I1" t="s" s="7">
        <v>14</v>
      </c>
      <c r="J1" t="s" s="8">
        <v>15</v>
      </c>
    </row>
    <row r="2" ht="15.75" customHeight="1">
      <c r="A2" s="9">
        <v>1</v>
      </c>
      <c r="B2" t="s" s="10">
        <v>16</v>
      </c>
      <c r="C2" s="9">
        <v>1</v>
      </c>
      <c r="D2" t="s" s="11">
        <v>17</v>
      </c>
      <c r="E2" t="s" s="11">
        <v>18</v>
      </c>
      <c r="F2" t="s" s="11">
        <v>19</v>
      </c>
      <c r="G2" t="s" s="11">
        <v>20</v>
      </c>
      <c r="H2" s="12"/>
      <c r="I2" t="s" s="11">
        <v>21</v>
      </c>
      <c r="J2" s="9">
        <v>30</v>
      </c>
    </row>
    <row r="3" ht="15.75" customHeight="1">
      <c r="A3" s="9">
        <v>2</v>
      </c>
      <c r="B3" t="s" s="10">
        <v>22</v>
      </c>
      <c r="C3" s="9">
        <v>1</v>
      </c>
      <c r="D3" t="s" s="11">
        <v>17</v>
      </c>
      <c r="E3" t="s" s="11">
        <v>18</v>
      </c>
      <c r="F3" t="s" s="11">
        <v>19</v>
      </c>
      <c r="G3" t="s" s="11">
        <v>23</v>
      </c>
      <c r="H3" s="12"/>
      <c r="I3" t="s" s="11">
        <v>24</v>
      </c>
      <c r="J3" s="9">
        <v>30</v>
      </c>
    </row>
    <row r="4" ht="15.75" customHeight="1">
      <c r="A4" s="9">
        <v>3</v>
      </c>
      <c r="B4" t="s" s="10">
        <v>25</v>
      </c>
      <c r="C4" s="9">
        <v>1</v>
      </c>
      <c r="D4" t="s" s="11">
        <v>17</v>
      </c>
      <c r="E4" t="s" s="11">
        <v>18</v>
      </c>
      <c r="F4" t="s" s="11">
        <v>19</v>
      </c>
      <c r="G4" t="s" s="11">
        <v>26</v>
      </c>
      <c r="H4" s="12"/>
      <c r="I4" t="s" s="11">
        <v>27</v>
      </c>
      <c r="J4" s="9">
        <v>30</v>
      </c>
    </row>
    <row r="5" ht="15.75" customHeight="1">
      <c r="A5" s="9">
        <v>4</v>
      </c>
      <c r="B5" t="s" s="10">
        <v>28</v>
      </c>
      <c r="C5" s="9">
        <v>1</v>
      </c>
      <c r="D5" t="s" s="11">
        <v>17</v>
      </c>
      <c r="E5" t="s" s="11">
        <v>18</v>
      </c>
      <c r="F5" t="s" s="11">
        <v>19</v>
      </c>
      <c r="G5" t="s" s="11">
        <v>29</v>
      </c>
      <c r="H5" s="12"/>
      <c r="I5" t="s" s="11">
        <v>30</v>
      </c>
      <c r="J5" s="9">
        <v>30</v>
      </c>
    </row>
    <row r="6" ht="15.75" customHeight="1">
      <c r="A6" s="13">
        <v>5</v>
      </c>
      <c r="B6" t="s" s="14">
        <v>31</v>
      </c>
      <c r="C6" s="13">
        <v>2</v>
      </c>
      <c r="D6" t="s" s="15">
        <v>32</v>
      </c>
      <c r="E6" t="s" s="15">
        <v>33</v>
      </c>
      <c r="F6" t="s" s="15">
        <v>19</v>
      </c>
      <c r="G6" t="s" s="15">
        <v>20</v>
      </c>
      <c r="H6" s="16"/>
      <c r="I6" t="s" s="15">
        <v>21</v>
      </c>
      <c r="J6" s="13">
        <v>30</v>
      </c>
    </row>
    <row r="7" ht="15.75" customHeight="1">
      <c r="A7" s="13">
        <v>6</v>
      </c>
      <c r="B7" t="s" s="14">
        <v>34</v>
      </c>
      <c r="C7" s="13">
        <v>2</v>
      </c>
      <c r="D7" t="s" s="15">
        <v>32</v>
      </c>
      <c r="E7" t="s" s="15">
        <v>33</v>
      </c>
      <c r="F7" t="s" s="15">
        <v>19</v>
      </c>
      <c r="G7" t="s" s="15">
        <v>23</v>
      </c>
      <c r="H7" s="16"/>
      <c r="I7" t="s" s="15">
        <v>24</v>
      </c>
      <c r="J7" s="13">
        <v>30</v>
      </c>
    </row>
    <row r="8" ht="15.75" customHeight="1">
      <c r="A8" s="13">
        <v>7</v>
      </c>
      <c r="B8" t="s" s="14">
        <v>35</v>
      </c>
      <c r="C8" s="13">
        <v>2</v>
      </c>
      <c r="D8" t="s" s="15">
        <v>32</v>
      </c>
      <c r="E8" t="s" s="15">
        <v>33</v>
      </c>
      <c r="F8" t="s" s="15">
        <v>19</v>
      </c>
      <c r="G8" t="s" s="15">
        <v>26</v>
      </c>
      <c r="H8" s="16"/>
      <c r="I8" t="s" s="15">
        <v>27</v>
      </c>
      <c r="J8" s="13">
        <v>30</v>
      </c>
    </row>
    <row r="9" ht="15.75" customHeight="1">
      <c r="A9" s="13">
        <v>8</v>
      </c>
      <c r="B9" t="s" s="14">
        <v>36</v>
      </c>
      <c r="C9" s="13">
        <v>2</v>
      </c>
      <c r="D9" t="s" s="15">
        <v>32</v>
      </c>
      <c r="E9" t="s" s="15">
        <v>33</v>
      </c>
      <c r="F9" t="s" s="15">
        <v>19</v>
      </c>
      <c r="G9" t="s" s="15">
        <v>29</v>
      </c>
      <c r="H9" s="16"/>
      <c r="I9" t="s" s="15">
        <v>30</v>
      </c>
      <c r="J9" s="13">
        <v>30</v>
      </c>
    </row>
    <row r="10" ht="15.75" customHeight="1">
      <c r="A10" s="9">
        <v>9</v>
      </c>
      <c r="B10" t="s" s="10">
        <v>37</v>
      </c>
      <c r="C10" s="9">
        <v>3</v>
      </c>
      <c r="D10" t="s" s="11">
        <v>38</v>
      </c>
      <c r="E10" t="s" s="11">
        <v>39</v>
      </c>
      <c r="F10" t="s" s="11">
        <v>19</v>
      </c>
      <c r="G10" t="s" s="11">
        <v>20</v>
      </c>
      <c r="H10" s="12"/>
      <c r="I10" t="s" s="11">
        <v>21</v>
      </c>
      <c r="J10" s="9">
        <v>30</v>
      </c>
    </row>
    <row r="11" ht="15.75" customHeight="1">
      <c r="A11" s="9">
        <v>10</v>
      </c>
      <c r="B11" t="s" s="10">
        <v>40</v>
      </c>
      <c r="C11" s="9">
        <v>3</v>
      </c>
      <c r="D11" t="s" s="11">
        <v>38</v>
      </c>
      <c r="E11" t="s" s="11">
        <v>39</v>
      </c>
      <c r="F11" t="s" s="11">
        <v>19</v>
      </c>
      <c r="G11" t="s" s="11">
        <v>26</v>
      </c>
      <c r="H11" s="12"/>
      <c r="I11" t="s" s="11">
        <v>24</v>
      </c>
      <c r="J11" s="9">
        <v>30</v>
      </c>
    </row>
    <row r="12" ht="15.75" customHeight="1">
      <c r="A12" s="9">
        <v>11</v>
      </c>
      <c r="B12" t="s" s="10">
        <v>41</v>
      </c>
      <c r="C12" s="9">
        <v>3</v>
      </c>
      <c r="D12" t="s" s="11">
        <v>38</v>
      </c>
      <c r="E12" t="s" s="11">
        <v>39</v>
      </c>
      <c r="F12" t="s" s="11">
        <v>19</v>
      </c>
      <c r="G12" t="s" s="11">
        <v>29</v>
      </c>
      <c r="H12" s="12"/>
      <c r="I12" t="s" s="11">
        <v>27</v>
      </c>
      <c r="J12" s="9">
        <v>30</v>
      </c>
    </row>
    <row r="13" ht="15.75" customHeight="1">
      <c r="A13" s="9">
        <v>12</v>
      </c>
      <c r="B13" t="s" s="14">
        <v>42</v>
      </c>
      <c r="C13" s="9">
        <v>3</v>
      </c>
      <c r="D13" t="s" s="11">
        <v>38</v>
      </c>
      <c r="E13" t="s" s="11">
        <v>39</v>
      </c>
      <c r="F13" t="s" s="11">
        <v>19</v>
      </c>
      <c r="G13" t="s" s="11">
        <v>43</v>
      </c>
      <c r="H13" s="12"/>
      <c r="I13" t="s" s="11">
        <v>30</v>
      </c>
      <c r="J13" s="9">
        <v>30</v>
      </c>
    </row>
    <row r="14" ht="15.75" customHeight="1">
      <c r="A14" s="13">
        <v>13</v>
      </c>
      <c r="B14" t="s" s="14">
        <v>44</v>
      </c>
      <c r="C14" s="13">
        <v>4</v>
      </c>
      <c r="D14" t="s" s="15">
        <v>45</v>
      </c>
      <c r="E14" t="s" s="15">
        <v>46</v>
      </c>
      <c r="F14" t="s" s="15">
        <v>19</v>
      </c>
      <c r="G14" t="s" s="15">
        <v>26</v>
      </c>
      <c r="H14" s="16"/>
      <c r="I14" t="s" s="15">
        <v>21</v>
      </c>
      <c r="J14" s="13">
        <v>30</v>
      </c>
    </row>
    <row r="15" ht="15.75" customHeight="1">
      <c r="A15" s="13">
        <v>14</v>
      </c>
      <c r="B15" t="s" s="14">
        <v>47</v>
      </c>
      <c r="C15" s="13">
        <v>4</v>
      </c>
      <c r="D15" t="s" s="15">
        <v>45</v>
      </c>
      <c r="E15" t="s" s="15">
        <v>46</v>
      </c>
      <c r="F15" t="s" s="15">
        <v>19</v>
      </c>
      <c r="G15" t="s" s="15">
        <v>29</v>
      </c>
      <c r="H15" s="16"/>
      <c r="I15" t="s" s="15">
        <v>24</v>
      </c>
      <c r="J15" s="13">
        <v>30</v>
      </c>
    </row>
    <row r="16" ht="15.75" customHeight="1">
      <c r="A16" s="13">
        <v>15</v>
      </c>
      <c r="B16" t="s" s="14">
        <v>48</v>
      </c>
      <c r="C16" s="13">
        <v>4</v>
      </c>
      <c r="D16" t="s" s="15">
        <v>45</v>
      </c>
      <c r="E16" t="s" s="15">
        <v>46</v>
      </c>
      <c r="F16" t="s" s="15">
        <v>19</v>
      </c>
      <c r="G16" t="s" s="15">
        <v>20</v>
      </c>
      <c r="H16" s="16"/>
      <c r="I16" t="s" s="15">
        <v>27</v>
      </c>
      <c r="J16" s="13">
        <v>30</v>
      </c>
    </row>
    <row r="17" ht="15.75" customHeight="1">
      <c r="A17" s="13">
        <v>16</v>
      </c>
      <c r="B17" t="s" s="10">
        <v>49</v>
      </c>
      <c r="C17" s="13">
        <v>4</v>
      </c>
      <c r="D17" t="s" s="15">
        <v>45</v>
      </c>
      <c r="E17" t="s" s="15">
        <v>46</v>
      </c>
      <c r="F17" t="s" s="15">
        <v>19</v>
      </c>
      <c r="G17" t="s" s="15">
        <v>43</v>
      </c>
      <c r="H17" s="16"/>
      <c r="I17" t="s" s="15">
        <v>30</v>
      </c>
      <c r="J17" s="13">
        <v>30</v>
      </c>
    </row>
    <row r="18" ht="15.75" customHeight="1">
      <c r="A18" s="9">
        <v>17</v>
      </c>
      <c r="B18" t="s" s="10">
        <v>50</v>
      </c>
      <c r="C18" s="9">
        <v>5</v>
      </c>
      <c r="D18" t="s" s="11">
        <v>51</v>
      </c>
      <c r="E18" t="s" s="11">
        <v>52</v>
      </c>
      <c r="F18" t="s" s="11">
        <v>19</v>
      </c>
      <c r="G18" t="s" s="11">
        <v>29</v>
      </c>
      <c r="H18" s="12"/>
      <c r="I18" t="s" s="11">
        <v>21</v>
      </c>
      <c r="J18" s="9">
        <v>30</v>
      </c>
    </row>
    <row r="19" ht="15.75" customHeight="1">
      <c r="A19" s="9">
        <v>18</v>
      </c>
      <c r="B19" t="s" s="10">
        <v>53</v>
      </c>
      <c r="C19" s="9">
        <v>5</v>
      </c>
      <c r="D19" t="s" s="11">
        <v>51</v>
      </c>
      <c r="E19" t="s" s="11">
        <v>52</v>
      </c>
      <c r="F19" t="s" s="11">
        <v>19</v>
      </c>
      <c r="G19" t="s" s="11">
        <v>43</v>
      </c>
      <c r="H19" s="12"/>
      <c r="I19" t="s" s="11">
        <v>24</v>
      </c>
      <c r="J19" s="9">
        <v>30</v>
      </c>
    </row>
    <row r="20" ht="15.75" customHeight="1">
      <c r="A20" s="9">
        <v>19</v>
      </c>
      <c r="B20" t="s" s="17">
        <v>54</v>
      </c>
      <c r="C20" s="9">
        <v>5</v>
      </c>
      <c r="D20" t="s" s="11">
        <v>51</v>
      </c>
      <c r="E20" t="s" s="11">
        <v>52</v>
      </c>
      <c r="F20" t="s" s="11">
        <v>19</v>
      </c>
      <c r="G20" t="s" s="11">
        <v>23</v>
      </c>
      <c r="H20" s="12"/>
      <c r="I20" t="s" s="11">
        <v>27</v>
      </c>
      <c r="J20" s="9">
        <v>30</v>
      </c>
    </row>
    <row r="21" ht="15.75" customHeight="1">
      <c r="A21" s="18">
        <v>20</v>
      </c>
      <c r="B21" t="s" s="17">
        <v>55</v>
      </c>
      <c r="C21" s="18">
        <v>6</v>
      </c>
      <c r="D21" t="s" s="19">
        <v>56</v>
      </c>
      <c r="E21" t="s" s="19">
        <v>33</v>
      </c>
      <c r="F21" t="s" s="19">
        <v>19</v>
      </c>
      <c r="G21" t="s" s="19">
        <v>43</v>
      </c>
      <c r="H21" s="20"/>
      <c r="I21" t="s" s="19">
        <v>21</v>
      </c>
      <c r="J21" s="18">
        <v>30</v>
      </c>
    </row>
    <row r="22" ht="15.75" customHeight="1">
      <c r="A22" s="18">
        <v>21</v>
      </c>
      <c r="B22" t="s" s="17">
        <v>57</v>
      </c>
      <c r="C22" s="18">
        <v>6</v>
      </c>
      <c r="D22" t="s" s="19">
        <v>56</v>
      </c>
      <c r="E22" t="s" s="19">
        <v>33</v>
      </c>
      <c r="F22" t="s" s="19">
        <v>19</v>
      </c>
      <c r="G22" t="s" s="19">
        <v>20</v>
      </c>
      <c r="H22" s="20"/>
      <c r="I22" t="s" s="19">
        <v>24</v>
      </c>
      <c r="J22" s="18">
        <v>30</v>
      </c>
    </row>
    <row r="23" ht="15.75" customHeight="1">
      <c r="A23" s="18">
        <v>22</v>
      </c>
      <c r="B23" t="s" s="17">
        <v>58</v>
      </c>
      <c r="C23" s="18">
        <v>6</v>
      </c>
      <c r="D23" t="s" s="19">
        <v>56</v>
      </c>
      <c r="E23" t="s" s="19">
        <v>33</v>
      </c>
      <c r="F23" t="s" s="19">
        <v>19</v>
      </c>
      <c r="G23" t="s" s="19">
        <v>23</v>
      </c>
      <c r="H23" s="20"/>
      <c r="I23" t="s" s="19">
        <v>27</v>
      </c>
      <c r="J23" s="18">
        <v>30</v>
      </c>
    </row>
    <row r="24" ht="15.75" customHeight="1">
      <c r="A24" s="18">
        <v>23</v>
      </c>
      <c r="B24" t="s" s="10">
        <v>59</v>
      </c>
      <c r="C24" s="18">
        <v>6</v>
      </c>
      <c r="D24" t="s" s="19">
        <v>56</v>
      </c>
      <c r="E24" t="s" s="19">
        <v>33</v>
      </c>
      <c r="F24" t="s" s="19">
        <v>19</v>
      </c>
      <c r="G24" t="s" s="19">
        <v>26</v>
      </c>
      <c r="H24" s="20"/>
      <c r="I24" t="s" s="19">
        <v>30</v>
      </c>
      <c r="J24" s="18">
        <v>30</v>
      </c>
    </row>
    <row r="25" ht="15.75" customHeight="1">
      <c r="A25" s="9">
        <v>24</v>
      </c>
      <c r="B25" t="s" s="10">
        <v>60</v>
      </c>
      <c r="C25" s="9">
        <v>7</v>
      </c>
      <c r="D25" t="s" s="11">
        <v>61</v>
      </c>
      <c r="E25" t="s" s="11">
        <v>39</v>
      </c>
      <c r="F25" t="s" s="11">
        <v>19</v>
      </c>
      <c r="G25" t="s" s="11">
        <v>43</v>
      </c>
      <c r="H25" s="12"/>
      <c r="I25" t="s" s="11">
        <v>21</v>
      </c>
      <c r="J25" s="9">
        <v>30</v>
      </c>
    </row>
    <row r="26" ht="15.75" customHeight="1">
      <c r="A26" s="9">
        <v>25</v>
      </c>
      <c r="B26" t="s" s="10">
        <v>62</v>
      </c>
      <c r="C26" s="9">
        <v>7</v>
      </c>
      <c r="D26" t="s" s="11">
        <v>61</v>
      </c>
      <c r="E26" t="s" s="11">
        <v>39</v>
      </c>
      <c r="F26" t="s" s="11">
        <v>19</v>
      </c>
      <c r="G26" t="s" s="11">
        <v>20</v>
      </c>
      <c r="H26" s="12"/>
      <c r="I26" t="s" s="11">
        <v>24</v>
      </c>
      <c r="J26" s="9">
        <v>30</v>
      </c>
    </row>
    <row r="27" ht="15.75" customHeight="1">
      <c r="A27" s="9">
        <v>26</v>
      </c>
      <c r="B27" t="s" s="10">
        <v>63</v>
      </c>
      <c r="C27" s="9">
        <v>7</v>
      </c>
      <c r="D27" t="s" s="11">
        <v>61</v>
      </c>
      <c r="E27" t="s" s="11">
        <v>39</v>
      </c>
      <c r="F27" t="s" s="11">
        <v>19</v>
      </c>
      <c r="G27" t="s" s="11">
        <v>26</v>
      </c>
      <c r="H27" s="12"/>
      <c r="I27" t="s" s="11">
        <v>27</v>
      </c>
      <c r="J27" s="9">
        <v>30</v>
      </c>
    </row>
    <row r="28" ht="15.75" customHeight="1">
      <c r="A28" s="9">
        <v>27</v>
      </c>
      <c r="B28" t="s" s="17">
        <v>64</v>
      </c>
      <c r="C28" s="9">
        <v>7</v>
      </c>
      <c r="D28" t="s" s="11">
        <v>61</v>
      </c>
      <c r="E28" t="s" s="11">
        <v>39</v>
      </c>
      <c r="F28" t="s" s="11">
        <v>19</v>
      </c>
      <c r="G28" t="s" s="11">
        <v>29</v>
      </c>
      <c r="H28" s="12"/>
      <c r="I28" t="s" s="11">
        <v>30</v>
      </c>
      <c r="J28" s="9">
        <v>30</v>
      </c>
    </row>
    <row r="29" ht="15.75" customHeight="1">
      <c r="A29" s="18">
        <v>28</v>
      </c>
      <c r="B29" t="s" s="17">
        <v>65</v>
      </c>
      <c r="C29" s="18">
        <v>8</v>
      </c>
      <c r="D29" t="s" s="19">
        <v>66</v>
      </c>
      <c r="E29" t="s" s="19">
        <v>46</v>
      </c>
      <c r="F29" t="s" s="19">
        <v>19</v>
      </c>
      <c r="G29" t="s" s="19">
        <v>26</v>
      </c>
      <c r="H29" s="20"/>
      <c r="I29" t="s" s="19">
        <v>21</v>
      </c>
      <c r="J29" s="18">
        <v>30</v>
      </c>
    </row>
    <row r="30" ht="15.75" customHeight="1">
      <c r="A30" s="18">
        <v>29</v>
      </c>
      <c r="B30" t="s" s="17">
        <v>67</v>
      </c>
      <c r="C30" s="18">
        <v>8</v>
      </c>
      <c r="D30" t="s" s="19">
        <v>66</v>
      </c>
      <c r="E30" t="s" s="19">
        <v>46</v>
      </c>
      <c r="F30" t="s" s="19">
        <v>19</v>
      </c>
      <c r="G30" t="s" s="19">
        <v>29</v>
      </c>
      <c r="H30" s="20"/>
      <c r="I30" t="s" s="19">
        <v>24</v>
      </c>
      <c r="J30" s="18">
        <v>30</v>
      </c>
    </row>
    <row r="31" ht="15.75" customHeight="1">
      <c r="A31" s="18">
        <v>30</v>
      </c>
      <c r="B31" t="s" s="17">
        <v>68</v>
      </c>
      <c r="C31" s="18">
        <v>8</v>
      </c>
      <c r="D31" t="s" s="19">
        <v>66</v>
      </c>
      <c r="E31" t="s" s="19">
        <v>46</v>
      </c>
      <c r="F31" t="s" s="19">
        <v>19</v>
      </c>
      <c r="G31" t="s" s="19">
        <v>43</v>
      </c>
      <c r="H31" s="20"/>
      <c r="I31" t="s" s="19">
        <v>27</v>
      </c>
      <c r="J31" s="18">
        <v>30</v>
      </c>
    </row>
    <row r="32" ht="15.75" customHeight="1">
      <c r="A32" s="18">
        <v>31</v>
      </c>
      <c r="B32" t="s" s="10">
        <v>69</v>
      </c>
      <c r="C32" s="18">
        <v>8</v>
      </c>
      <c r="D32" t="s" s="19">
        <v>66</v>
      </c>
      <c r="E32" t="s" s="19">
        <v>46</v>
      </c>
      <c r="F32" t="s" s="19">
        <v>19</v>
      </c>
      <c r="G32" t="s" s="19">
        <v>20</v>
      </c>
      <c r="H32" s="20"/>
      <c r="I32" t="s" s="19">
        <v>30</v>
      </c>
      <c r="J32" s="18">
        <v>30</v>
      </c>
    </row>
    <row r="33" ht="15.75" customHeight="1">
      <c r="A33" s="9">
        <v>32</v>
      </c>
      <c r="B33" t="s" s="10">
        <v>70</v>
      </c>
      <c r="C33" s="9">
        <v>9</v>
      </c>
      <c r="D33" t="s" s="11">
        <v>71</v>
      </c>
      <c r="E33" t="s" s="11">
        <v>52</v>
      </c>
      <c r="F33" t="s" s="11">
        <v>19</v>
      </c>
      <c r="G33" t="s" s="11">
        <v>29</v>
      </c>
      <c r="H33" s="12"/>
      <c r="I33" t="s" s="11">
        <v>21</v>
      </c>
      <c r="J33" s="9">
        <v>30</v>
      </c>
    </row>
    <row r="34" ht="15.75" customHeight="1">
      <c r="A34" s="9">
        <v>33</v>
      </c>
      <c r="B34" t="s" s="10">
        <v>72</v>
      </c>
      <c r="C34" s="9">
        <v>9</v>
      </c>
      <c r="D34" t="s" s="11">
        <v>71</v>
      </c>
      <c r="E34" t="s" s="11">
        <v>52</v>
      </c>
      <c r="F34" t="s" s="11">
        <v>19</v>
      </c>
      <c r="G34" t="s" s="11">
        <v>43</v>
      </c>
      <c r="H34" s="12"/>
      <c r="I34" t="s" s="11">
        <v>24</v>
      </c>
      <c r="J34" s="9">
        <v>30</v>
      </c>
    </row>
    <row r="35" ht="15.75" customHeight="1">
      <c r="A35" s="9">
        <v>34</v>
      </c>
      <c r="B35" t="s" s="17">
        <v>73</v>
      </c>
      <c r="C35" s="9">
        <v>9</v>
      </c>
      <c r="D35" t="s" s="11">
        <v>71</v>
      </c>
      <c r="E35" t="s" s="11">
        <v>52</v>
      </c>
      <c r="F35" t="s" s="11">
        <v>19</v>
      </c>
      <c r="G35" t="s" s="11">
        <v>23</v>
      </c>
      <c r="H35" s="12"/>
      <c r="I35" t="s" s="11">
        <v>27</v>
      </c>
      <c r="J35" s="9">
        <v>30</v>
      </c>
    </row>
    <row r="36" ht="15.75" customHeight="1">
      <c r="A36" s="18">
        <v>35</v>
      </c>
      <c r="B36" t="s" s="17">
        <v>74</v>
      </c>
      <c r="C36" s="18">
        <v>10</v>
      </c>
      <c r="D36" t="s" s="19">
        <v>75</v>
      </c>
      <c r="E36" t="s" s="19">
        <v>18</v>
      </c>
      <c r="F36" t="s" s="19">
        <v>19</v>
      </c>
      <c r="G36" t="s" s="19">
        <v>26</v>
      </c>
      <c r="H36" s="20"/>
      <c r="I36" t="s" s="19">
        <v>21</v>
      </c>
      <c r="J36" s="18">
        <v>30</v>
      </c>
    </row>
    <row r="37" ht="15.75" customHeight="1">
      <c r="A37" s="18">
        <v>36</v>
      </c>
      <c r="B37" t="s" s="17">
        <v>76</v>
      </c>
      <c r="C37" s="18">
        <v>10</v>
      </c>
      <c r="D37" t="s" s="19">
        <v>75</v>
      </c>
      <c r="E37" t="s" s="19">
        <v>18</v>
      </c>
      <c r="F37" t="s" s="19">
        <v>19</v>
      </c>
      <c r="G37" t="s" s="19">
        <v>29</v>
      </c>
      <c r="H37" s="20"/>
      <c r="I37" t="s" s="19">
        <v>24</v>
      </c>
      <c r="J37" s="18">
        <v>30</v>
      </c>
    </row>
    <row r="38" ht="15.75" customHeight="1">
      <c r="A38" s="18">
        <v>37</v>
      </c>
      <c r="B38" t="s" s="17">
        <v>77</v>
      </c>
      <c r="C38" s="18">
        <v>10</v>
      </c>
      <c r="D38" t="s" s="19">
        <v>75</v>
      </c>
      <c r="E38" t="s" s="19">
        <v>18</v>
      </c>
      <c r="F38" t="s" s="19">
        <v>19</v>
      </c>
      <c r="G38" t="s" s="19">
        <v>20</v>
      </c>
      <c r="H38" s="20"/>
      <c r="I38" t="s" s="19">
        <v>27</v>
      </c>
      <c r="J38" s="18">
        <v>30</v>
      </c>
    </row>
    <row r="39" ht="15.75" customHeight="1">
      <c r="A39" s="18">
        <v>38</v>
      </c>
      <c r="B39" t="s" s="10">
        <v>78</v>
      </c>
      <c r="C39" s="18">
        <v>10</v>
      </c>
      <c r="D39" t="s" s="19">
        <v>75</v>
      </c>
      <c r="E39" t="s" s="19">
        <v>18</v>
      </c>
      <c r="F39" t="s" s="19">
        <v>19</v>
      </c>
      <c r="G39" t="s" s="19">
        <v>23</v>
      </c>
      <c r="H39" s="20"/>
      <c r="I39" t="s" s="19">
        <v>30</v>
      </c>
      <c r="J39" s="18">
        <v>30</v>
      </c>
    </row>
    <row r="40" ht="15.75" customHeight="1">
      <c r="A40" s="9">
        <v>39</v>
      </c>
      <c r="B40" t="s" s="10">
        <v>79</v>
      </c>
      <c r="C40" s="9">
        <v>11</v>
      </c>
      <c r="D40" t="s" s="11">
        <v>80</v>
      </c>
      <c r="E40" t="s" s="11">
        <v>33</v>
      </c>
      <c r="F40" t="s" s="11">
        <v>19</v>
      </c>
      <c r="G40" t="s" s="11">
        <v>26</v>
      </c>
      <c r="H40" s="12"/>
      <c r="I40" t="s" s="11">
        <v>21</v>
      </c>
      <c r="J40" s="9">
        <v>30</v>
      </c>
    </row>
    <row r="41" ht="15.75" customHeight="1">
      <c r="A41" s="9">
        <v>40</v>
      </c>
      <c r="B41" t="s" s="10">
        <v>81</v>
      </c>
      <c r="C41" s="9">
        <v>11</v>
      </c>
      <c r="D41" t="s" s="11">
        <v>80</v>
      </c>
      <c r="E41" t="s" s="11">
        <v>33</v>
      </c>
      <c r="F41" t="s" s="11">
        <v>19</v>
      </c>
      <c r="G41" t="s" s="11">
        <v>43</v>
      </c>
      <c r="H41" s="12"/>
      <c r="I41" t="s" s="11">
        <v>24</v>
      </c>
      <c r="J41" s="9">
        <v>30</v>
      </c>
    </row>
    <row r="42" ht="15.75" customHeight="1">
      <c r="A42" s="9">
        <v>41</v>
      </c>
      <c r="B42" t="s" s="14">
        <v>82</v>
      </c>
      <c r="C42" s="9">
        <v>11</v>
      </c>
      <c r="D42" t="s" s="11">
        <v>80</v>
      </c>
      <c r="E42" t="s" s="11">
        <v>33</v>
      </c>
      <c r="F42" t="s" s="11">
        <v>19</v>
      </c>
      <c r="G42" t="s" s="11">
        <v>20</v>
      </c>
      <c r="H42" s="12"/>
      <c r="I42" t="s" s="11">
        <v>27</v>
      </c>
      <c r="J42" s="9">
        <v>30</v>
      </c>
    </row>
    <row r="43" ht="15.75" customHeight="1">
      <c r="A43" s="13">
        <v>42</v>
      </c>
      <c r="B43" t="s" s="14">
        <v>83</v>
      </c>
      <c r="C43" s="13">
        <v>12</v>
      </c>
      <c r="D43" t="s" s="15">
        <v>84</v>
      </c>
      <c r="E43" t="s" s="15">
        <v>39</v>
      </c>
      <c r="F43" t="s" s="15">
        <v>19</v>
      </c>
      <c r="G43" t="s" s="15">
        <v>26</v>
      </c>
      <c r="H43" s="16"/>
      <c r="I43" t="s" s="15">
        <v>21</v>
      </c>
      <c r="J43" s="13">
        <v>30</v>
      </c>
    </row>
    <row r="44" ht="15.75" customHeight="1">
      <c r="A44" s="13">
        <v>43</v>
      </c>
      <c r="B44" t="s" s="14">
        <v>85</v>
      </c>
      <c r="C44" s="13">
        <v>12</v>
      </c>
      <c r="D44" t="s" s="15">
        <v>84</v>
      </c>
      <c r="E44" t="s" s="15">
        <v>39</v>
      </c>
      <c r="F44" t="s" s="15">
        <v>19</v>
      </c>
      <c r="G44" t="s" s="15">
        <v>29</v>
      </c>
      <c r="H44" s="16"/>
      <c r="I44" t="s" s="15">
        <v>24</v>
      </c>
      <c r="J44" s="13">
        <v>30</v>
      </c>
    </row>
    <row r="45" ht="15.75" customHeight="1">
      <c r="A45" s="13">
        <v>44</v>
      </c>
      <c r="B45" t="s" s="10">
        <v>86</v>
      </c>
      <c r="C45" s="13">
        <v>12</v>
      </c>
      <c r="D45" t="s" s="15">
        <v>84</v>
      </c>
      <c r="E45" t="s" s="15">
        <v>39</v>
      </c>
      <c r="F45" t="s" s="15">
        <v>19</v>
      </c>
      <c r="G45" t="s" s="15">
        <v>43</v>
      </c>
      <c r="H45" s="16"/>
      <c r="I45" t="s" s="15">
        <v>27</v>
      </c>
      <c r="J45" s="13">
        <v>30</v>
      </c>
    </row>
    <row r="46" ht="15.75" customHeight="1">
      <c r="A46" s="9">
        <v>45</v>
      </c>
      <c r="B46" t="s" s="10">
        <v>87</v>
      </c>
      <c r="C46" s="9">
        <v>13</v>
      </c>
      <c r="D46" t="s" s="11">
        <v>88</v>
      </c>
      <c r="E46" t="s" s="11">
        <v>46</v>
      </c>
      <c r="F46" t="s" s="11">
        <v>19</v>
      </c>
      <c r="G46" t="s" s="11">
        <v>43</v>
      </c>
      <c r="H46" s="12"/>
      <c r="I46" t="s" s="11">
        <v>21</v>
      </c>
      <c r="J46" s="9">
        <v>30</v>
      </c>
    </row>
    <row r="47" ht="15.75" customHeight="1">
      <c r="A47" s="12"/>
      <c r="B47" s="21"/>
      <c r="C47" s="12"/>
      <c r="D47" s="11"/>
      <c r="E47" s="11"/>
      <c r="F47" s="12"/>
      <c r="G47" s="11"/>
      <c r="H47" s="12"/>
      <c r="I47" s="11"/>
      <c r="J47" s="12"/>
    </row>
    <row r="48" ht="15.75" customHeight="1">
      <c r="A48" s="12"/>
      <c r="B48" s="21"/>
      <c r="C48" s="12"/>
      <c r="D48" s="11"/>
      <c r="E48" s="11"/>
      <c r="F48" s="12"/>
      <c r="G48" s="11"/>
      <c r="H48" s="12"/>
      <c r="I48" s="11"/>
      <c r="J48" s="12"/>
    </row>
  </sheetData>
  <dataValidations count="16">
    <dataValidation type="list" allowBlank="1" showInputMessage="1" showErrorMessage="1" sqref="D2:D5">
      <formula1>"05-10-2026,06-10-2026,07-10-2026,08-10-2026,09-10-2026,13-10-2026,14-10-2026,15-10-2026,16-10-2026,19-10-2026,20-10-2026,21-10-2026,22-10-2026,05-10-2026"</formula1>
    </dataValidation>
    <dataValidation type="list" allowBlank="1" showInputMessage="1" showErrorMessage="1" sqref="E2:E46">
      <formula1>"Lunes,Martes,Miércoles,Jueves,Viernes"</formula1>
    </dataValidation>
    <dataValidation type="list" allowBlank="1" showInputMessage="1" showErrorMessage="1" sqref="G2:G46">
      <formula1>"Camilo,Gabriela,Juan,Loreto,Solange"</formula1>
    </dataValidation>
    <dataValidation type="list" allowBlank="1" showInputMessage="1" showErrorMessage="1" sqref="I2:I46">
      <formula1>"Sala 1,Sala 2,Sala 3,Sala 4"</formula1>
    </dataValidation>
    <dataValidation type="list" allowBlank="1" showInputMessage="1" showErrorMessage="1" sqref="D6:D9">
      <formula1>"05-10-2026,06-10-2026,07-10-2026,08-10-2026,09-10-2026,13-10-2026,14-10-2026,15-10-2026,16-10-2026,19-10-2026,20-10-2026,21-10-2026,22-10-2026,06-10-2026"</formula1>
    </dataValidation>
    <dataValidation type="list" allowBlank="1" showInputMessage="1" showErrorMessage="1" sqref="D10:D13">
      <formula1>"05-10-2026,06-10-2026,07-10-2026,08-10-2026,09-10-2026,13-10-2026,14-10-2026,15-10-2026,16-10-2026,19-10-2026,20-10-2026,21-10-2026,22-10-2026,07-10-2026"</formula1>
    </dataValidation>
    <dataValidation type="list" allowBlank="1" showInputMessage="1" showErrorMessage="1" sqref="D14:D17">
      <formula1>"05-10-2026,06-10-2026,07-10-2026,08-10-2026,09-10-2026,13-10-2026,14-10-2026,15-10-2026,16-10-2026,19-10-2026,20-10-2026,21-10-2026,22-10-2026,08-10-2026"</formula1>
    </dataValidation>
    <dataValidation type="list" allowBlank="1" showInputMessage="1" showErrorMessage="1" sqref="D18:D20">
      <formula1>"05-10-2026,06-10-2026,07-10-2026,08-10-2026,09-10-2026,13-10-2026,14-10-2026,15-10-2026,16-10-2026,19-10-2026,20-10-2026,21-10-2026,22-10-2026,09-10-2026"</formula1>
    </dataValidation>
    <dataValidation type="list" allowBlank="1" showInputMessage="1" showErrorMessage="1" sqref="D21:D24">
      <formula1>"05-10-2026,06-10-2026,07-10-2026,08-10-2026,09-10-2026,13-10-2026,14-10-2026,15-10-2026,16-10-2026,19-10-2026,20-10-2026,21-10-2026,22-10-2026,13-10-2026"</formula1>
    </dataValidation>
    <dataValidation type="list" allowBlank="1" showInputMessage="1" showErrorMessage="1" sqref="D25:D28">
      <formula1>"05-10-2026,06-10-2026,07-10-2026,08-10-2026,09-10-2026,13-10-2026,14-10-2026,15-10-2026,16-10-2026,19-10-2026,20-10-2026,21-10-2026,22-10-2026,14-10-2026"</formula1>
    </dataValidation>
    <dataValidation type="list" allowBlank="1" showInputMessage="1" showErrorMessage="1" sqref="D29:D32">
      <formula1>"05-10-2026,06-10-2026,07-10-2026,08-10-2026,09-10-2026,13-10-2026,14-10-2026,15-10-2026,16-10-2026,19-10-2026,20-10-2026,21-10-2026,22-10-2026,15-10-2026"</formula1>
    </dataValidation>
    <dataValidation type="list" allowBlank="1" showInputMessage="1" showErrorMessage="1" sqref="D33:D35">
      <formula1>"05-10-2026,06-10-2026,07-10-2026,08-10-2026,09-10-2026,13-10-2026,14-10-2026,15-10-2026,16-10-2026,19-10-2026,20-10-2026,21-10-2026,22-10-2026,16-10-2026"</formula1>
    </dataValidation>
    <dataValidation type="list" allowBlank="1" showInputMessage="1" showErrorMessage="1" sqref="D36:D39">
      <formula1>"05-10-2026,06-10-2026,07-10-2026,08-10-2026,09-10-2026,13-10-2026,14-10-2026,15-10-2026,16-10-2026,19-10-2026,20-10-2026,21-10-2026,22-10-2026,19-10-2026"</formula1>
    </dataValidation>
    <dataValidation type="list" allowBlank="1" showInputMessage="1" showErrorMessage="1" sqref="D40:D42">
      <formula1>"05-10-2026,06-10-2026,07-10-2026,08-10-2026,09-10-2026,13-10-2026,14-10-2026,15-10-2026,16-10-2026,19-10-2026,20-10-2026,21-10-2026,22-10-2026,20-10-2026"</formula1>
    </dataValidation>
    <dataValidation type="list" allowBlank="1" showInputMessage="1" showErrorMessage="1" sqref="D43:D45">
      <formula1>"05-10-2026,06-10-2026,07-10-2026,08-10-2026,09-10-2026,13-10-2026,14-10-2026,15-10-2026,16-10-2026,19-10-2026,20-10-2026,21-10-2026,22-10-2026,21-10-2026"</formula1>
    </dataValidation>
    <dataValidation type="list" allowBlank="1" showInputMessage="1" showErrorMessage="1" sqref="D46">
      <formula1>"05-10-2026,06-10-2026,07-10-2026,08-10-2026,09-10-2026,13-10-2026,14-10-2026,15-10-2026,16-10-2026,19-10-2026,20-10-2026,21-10-2026,22-10-2026,22-10-2026"</formula1>
    </dataValidation>
  </dataValidations>
  <pageMargins left="0.75" right="0.75" top="1" bottom="1" header="0" footer="0"/>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21"/>
  <sheetViews>
    <sheetView workbookViewId="0" showGridLines="0" defaultGridColor="1"/>
  </sheetViews>
  <sheetFormatPr defaultColWidth="14.5" defaultRowHeight="15" customHeight="1" outlineLevelRow="0" outlineLevelCol="0"/>
  <cols>
    <col min="1" max="1" width="13" style="22" customWidth="1"/>
    <col min="2" max="2" width="12" style="22" customWidth="1"/>
    <col min="3" max="3" width="38" style="22" customWidth="1"/>
    <col min="4" max="5" width="20" style="22" customWidth="1"/>
    <col min="6" max="16384" width="14.5" style="22" customWidth="1"/>
  </cols>
  <sheetData>
    <row r="1" ht="14.25" customHeight="1">
      <c r="A1" t="s" s="23">
        <v>9</v>
      </c>
      <c r="B1" t="s" s="23">
        <v>10</v>
      </c>
      <c r="C1" t="s" s="23">
        <v>90</v>
      </c>
      <c r="D1" t="s" s="23">
        <v>91</v>
      </c>
      <c r="E1" t="s" s="23">
        <v>92</v>
      </c>
    </row>
    <row r="2" ht="14.25" customHeight="1">
      <c r="A2" t="s" s="24">
        <v>17</v>
      </c>
      <c r="B2" t="s" s="24">
        <v>18</v>
      </c>
      <c r="C2" t="s" s="25">
        <v>93</v>
      </c>
      <c r="D2" s="26">
        <v>4</v>
      </c>
      <c r="E2" t="s" s="24">
        <v>43</v>
      </c>
    </row>
    <row r="3" ht="14.25" customHeight="1">
      <c r="A3" t="s" s="24">
        <v>32</v>
      </c>
      <c r="B3" t="s" s="24">
        <v>33</v>
      </c>
      <c r="C3" t="s" s="25">
        <v>93</v>
      </c>
      <c r="D3" s="26">
        <v>4</v>
      </c>
      <c r="E3" t="s" s="24">
        <v>43</v>
      </c>
    </row>
    <row r="4" ht="14.25" customHeight="1">
      <c r="A4" t="s" s="24">
        <v>38</v>
      </c>
      <c r="B4" t="s" s="24">
        <v>39</v>
      </c>
      <c r="C4" t="s" s="25">
        <v>94</v>
      </c>
      <c r="D4" s="26">
        <v>4</v>
      </c>
      <c r="E4" t="s" s="24">
        <v>23</v>
      </c>
    </row>
    <row r="5" ht="14.25" customHeight="1">
      <c r="A5" t="s" s="24">
        <v>45</v>
      </c>
      <c r="B5" t="s" s="24">
        <v>46</v>
      </c>
      <c r="C5" t="s" s="25">
        <v>95</v>
      </c>
      <c r="D5" s="26">
        <v>4</v>
      </c>
      <c r="E5" t="s" s="24">
        <v>96</v>
      </c>
    </row>
    <row r="6" ht="14.25" customHeight="1">
      <c r="A6" t="s" s="24">
        <v>51</v>
      </c>
      <c r="B6" t="s" s="24">
        <v>52</v>
      </c>
      <c r="C6" t="s" s="25">
        <v>97</v>
      </c>
      <c r="D6" s="26">
        <v>3</v>
      </c>
      <c r="E6" t="s" s="24">
        <v>98</v>
      </c>
    </row>
    <row r="7" ht="14.25" customHeight="1">
      <c r="A7" t="s" s="24">
        <v>56</v>
      </c>
      <c r="B7" t="s" s="24">
        <v>33</v>
      </c>
      <c r="C7" t="s" s="25">
        <v>99</v>
      </c>
      <c r="D7" s="26">
        <v>4</v>
      </c>
      <c r="E7" t="s" s="24">
        <v>29</v>
      </c>
    </row>
    <row r="8" ht="14.25" customHeight="1">
      <c r="A8" t="s" s="24">
        <v>61</v>
      </c>
      <c r="B8" t="s" s="24">
        <v>39</v>
      </c>
      <c r="C8" t="s" s="25">
        <v>94</v>
      </c>
      <c r="D8" s="26">
        <v>4</v>
      </c>
      <c r="E8" t="s" s="24">
        <v>23</v>
      </c>
    </row>
    <row r="9" ht="14.25" customHeight="1">
      <c r="A9" t="s" s="24">
        <v>66</v>
      </c>
      <c r="B9" t="s" s="24">
        <v>46</v>
      </c>
      <c r="C9" t="s" s="25">
        <v>95</v>
      </c>
      <c r="D9" s="26">
        <v>4</v>
      </c>
      <c r="E9" t="s" s="24">
        <v>96</v>
      </c>
    </row>
    <row r="10" ht="14.25" customHeight="1">
      <c r="A10" t="s" s="24">
        <v>71</v>
      </c>
      <c r="B10" t="s" s="24">
        <v>52</v>
      </c>
      <c r="C10" t="s" s="25">
        <v>97</v>
      </c>
      <c r="D10" s="26">
        <v>3</v>
      </c>
      <c r="E10" t="s" s="24">
        <v>98</v>
      </c>
    </row>
    <row r="11" ht="14.25" customHeight="1">
      <c r="A11" t="s" s="24">
        <v>75</v>
      </c>
      <c r="B11" t="s" s="24">
        <v>18</v>
      </c>
      <c r="C11" t="s" s="25">
        <v>93</v>
      </c>
      <c r="D11" s="26">
        <v>4</v>
      </c>
      <c r="E11" t="s" s="24">
        <v>43</v>
      </c>
    </row>
    <row r="12" ht="14.25" customHeight="1">
      <c r="A12" t="s" s="24">
        <v>80</v>
      </c>
      <c r="B12" t="s" s="24">
        <v>33</v>
      </c>
      <c r="C12" t="s" s="25">
        <v>99</v>
      </c>
      <c r="D12" s="26">
        <v>3</v>
      </c>
      <c r="E12" t="s" s="24">
        <v>29</v>
      </c>
    </row>
    <row r="13" ht="14.25" customHeight="1">
      <c r="A13" t="s" s="24">
        <v>84</v>
      </c>
      <c r="B13" t="s" s="24">
        <v>39</v>
      </c>
      <c r="C13" t="s" s="25">
        <v>94</v>
      </c>
      <c r="D13" s="26">
        <v>3</v>
      </c>
      <c r="E13" t="s" s="24">
        <v>23</v>
      </c>
    </row>
    <row r="14" ht="14.25" customHeight="1">
      <c r="A14" t="s" s="24">
        <v>88</v>
      </c>
      <c r="B14" t="s" s="24">
        <v>46</v>
      </c>
      <c r="C14" t="s" s="25">
        <v>95</v>
      </c>
      <c r="D14" s="26">
        <v>3</v>
      </c>
      <c r="E14" t="s" s="24">
        <v>96</v>
      </c>
    </row>
    <row r="15" ht="14.25" customHeight="1">
      <c r="A15" s="27"/>
      <c r="B15" s="28"/>
      <c r="C15" s="28"/>
      <c r="D15" s="28"/>
      <c r="E15" s="29"/>
    </row>
    <row r="16" ht="14.25" customHeight="1">
      <c r="A16" s="30"/>
      <c r="B16" s="31"/>
      <c r="C16" s="31"/>
      <c r="D16" s="31"/>
      <c r="E16" s="32"/>
    </row>
    <row r="17" ht="14.25" customHeight="1">
      <c r="A17" s="30"/>
      <c r="B17" s="31"/>
      <c r="C17" s="31"/>
      <c r="D17" s="31"/>
      <c r="E17" s="32"/>
    </row>
    <row r="18" ht="14.25" customHeight="1">
      <c r="A18" s="33"/>
      <c r="B18" s="31"/>
      <c r="C18" s="31"/>
      <c r="D18" s="31"/>
      <c r="E18" s="32"/>
    </row>
    <row r="19" ht="14.25" customHeight="1">
      <c r="A19" s="33"/>
      <c r="B19" s="31"/>
      <c r="C19" s="31"/>
      <c r="D19" s="31"/>
      <c r="E19" s="32"/>
    </row>
    <row r="20" ht="14.25" customHeight="1">
      <c r="A20" s="33"/>
      <c r="B20" s="31"/>
      <c r="C20" s="31"/>
      <c r="D20" s="31"/>
      <c r="E20" s="32"/>
    </row>
    <row r="21" ht="14.25" customHeight="1">
      <c r="A21" s="34"/>
      <c r="B21" s="35"/>
      <c r="C21" s="35"/>
      <c r="D21" s="35"/>
      <c r="E21" s="36"/>
    </row>
  </sheetData>
  <pageMargins left="0.75" right="0.75" top="1" bottom="1" header="0" footer="0"/>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Z10"/>
  <sheetViews>
    <sheetView workbookViewId="0" showGridLines="0" defaultGridColor="1"/>
  </sheetViews>
  <sheetFormatPr defaultColWidth="14.5" defaultRowHeight="15" customHeight="1" outlineLevelRow="0" outlineLevelCol="0"/>
  <cols>
    <col min="1" max="1" width="16" style="37" customWidth="1"/>
    <col min="2" max="2" width="22" style="37" customWidth="1"/>
    <col min="3" max="26" width="8.67188" style="37" customWidth="1"/>
    <col min="27" max="16384" width="14.5" style="37" customWidth="1"/>
  </cols>
  <sheetData>
    <row r="1" ht="14.25" customHeight="1">
      <c r="A1" t="s" s="23">
        <v>101</v>
      </c>
      <c r="B1" t="s" s="23">
        <v>102</v>
      </c>
      <c r="C1" s="38"/>
      <c r="D1" s="39"/>
      <c r="E1" s="39"/>
      <c r="F1" s="39"/>
      <c r="G1" s="39"/>
      <c r="H1" s="39"/>
      <c r="I1" s="39"/>
      <c r="J1" s="39"/>
      <c r="K1" s="39"/>
      <c r="L1" s="39"/>
      <c r="M1" s="39"/>
      <c r="N1" s="39"/>
      <c r="O1" s="39"/>
      <c r="P1" s="39"/>
      <c r="Q1" s="39"/>
      <c r="R1" s="39"/>
      <c r="S1" s="39"/>
      <c r="T1" s="39"/>
      <c r="U1" s="39"/>
      <c r="V1" s="39"/>
      <c r="W1" s="39"/>
      <c r="X1" s="39"/>
      <c r="Y1" s="39"/>
      <c r="Z1" s="40"/>
    </row>
    <row r="2" ht="14.25" customHeight="1">
      <c r="A2" t="s" s="41">
        <v>20</v>
      </c>
      <c r="B2" s="26" cm="1">
        <f t="array" ref="B2">COUNTIF('Cronograma Octubre'!G1:G48,A2)</f>
        <v>9</v>
      </c>
      <c r="C2" s="42"/>
      <c r="D2" s="31"/>
      <c r="E2" s="31"/>
      <c r="F2" s="31"/>
      <c r="G2" s="31"/>
      <c r="H2" s="31"/>
      <c r="I2" s="31"/>
      <c r="J2" s="31"/>
      <c r="K2" s="31"/>
      <c r="L2" s="31"/>
      <c r="M2" s="31"/>
      <c r="N2" s="31"/>
      <c r="O2" s="31"/>
      <c r="P2" s="31"/>
      <c r="Q2" s="31"/>
      <c r="R2" s="31"/>
      <c r="S2" s="31"/>
      <c r="T2" s="31"/>
      <c r="U2" s="31"/>
      <c r="V2" s="31"/>
      <c r="W2" s="31"/>
      <c r="X2" s="31"/>
      <c r="Y2" s="31"/>
      <c r="Z2" s="32"/>
    </row>
    <row r="3" ht="14.25" customHeight="1">
      <c r="A3" t="s" s="41">
        <v>23</v>
      </c>
      <c r="B3" s="26" cm="1">
        <f t="array" ref="B3">COUNTIF('Cronograma Octubre'!G1:G48,A3)</f>
        <v>6</v>
      </c>
      <c r="C3" s="42"/>
      <c r="D3" s="31"/>
      <c r="E3" s="31"/>
      <c r="F3" s="31"/>
      <c r="G3" s="31"/>
      <c r="H3" s="31"/>
      <c r="I3" s="31"/>
      <c r="J3" s="31"/>
      <c r="K3" s="31"/>
      <c r="L3" s="31"/>
      <c r="M3" s="31"/>
      <c r="N3" s="31"/>
      <c r="O3" s="31"/>
      <c r="P3" s="31"/>
      <c r="Q3" s="31"/>
      <c r="R3" s="31"/>
      <c r="S3" s="31"/>
      <c r="T3" s="31"/>
      <c r="U3" s="31"/>
      <c r="V3" s="31"/>
      <c r="W3" s="31"/>
      <c r="X3" s="31"/>
      <c r="Y3" s="31"/>
      <c r="Z3" s="32"/>
    </row>
    <row r="4" ht="14.25" customHeight="1">
      <c r="A4" t="s" s="41">
        <v>26</v>
      </c>
      <c r="B4" s="26" cm="1">
        <f t="array" ref="B4">COUNTIF('Cronograma Octubre'!G1:G48,A4)</f>
        <v>10</v>
      </c>
      <c r="C4" s="42"/>
      <c r="D4" s="31"/>
      <c r="E4" s="31"/>
      <c r="F4" s="31"/>
      <c r="G4" s="31"/>
      <c r="H4" s="31"/>
      <c r="I4" s="31"/>
      <c r="J4" s="31"/>
      <c r="K4" s="31"/>
      <c r="L4" s="31"/>
      <c r="M4" s="31"/>
      <c r="N4" s="31"/>
      <c r="O4" s="31"/>
      <c r="P4" s="31"/>
      <c r="Q4" s="31"/>
      <c r="R4" s="31"/>
      <c r="S4" s="31"/>
      <c r="T4" s="31"/>
      <c r="U4" s="31"/>
      <c r="V4" s="31"/>
      <c r="W4" s="31"/>
      <c r="X4" s="31"/>
      <c r="Y4" s="31"/>
      <c r="Z4" s="32"/>
    </row>
    <row r="5" ht="14.25" customHeight="1">
      <c r="A5" t="s" s="41">
        <v>29</v>
      </c>
      <c r="B5" s="26" cm="1">
        <f t="array" ref="B5">COUNTIF('Cronograma Octubre'!G1:G48,A5)</f>
        <v>10</v>
      </c>
      <c r="C5" s="42"/>
      <c r="D5" s="31"/>
      <c r="E5" s="31"/>
      <c r="F5" s="31"/>
      <c r="G5" s="31"/>
      <c r="H5" s="31"/>
      <c r="I5" s="31"/>
      <c r="J5" s="31"/>
      <c r="K5" s="31"/>
      <c r="L5" s="31"/>
      <c r="M5" s="31"/>
      <c r="N5" s="31"/>
      <c r="O5" s="31"/>
      <c r="P5" s="31"/>
      <c r="Q5" s="31"/>
      <c r="R5" s="31"/>
      <c r="S5" s="31"/>
      <c r="T5" s="31"/>
      <c r="U5" s="31"/>
      <c r="V5" s="31"/>
      <c r="W5" s="31"/>
      <c r="X5" s="31"/>
      <c r="Y5" s="31"/>
      <c r="Z5" s="32"/>
    </row>
    <row r="6" ht="14.25" customHeight="1">
      <c r="A6" t="s" s="41">
        <v>43</v>
      </c>
      <c r="B6" s="26" cm="1">
        <f t="array" ref="B6">COUNTIF('Cronograma Octubre'!G1:G48,A6)</f>
        <v>10</v>
      </c>
      <c r="C6" s="42"/>
      <c r="D6" s="31"/>
      <c r="E6" s="31"/>
      <c r="F6" s="31"/>
      <c r="G6" s="31"/>
      <c r="H6" s="31"/>
      <c r="I6" s="31"/>
      <c r="J6" s="31"/>
      <c r="K6" s="31"/>
      <c r="L6" s="31"/>
      <c r="M6" s="31"/>
      <c r="N6" s="31"/>
      <c r="O6" s="31"/>
      <c r="P6" s="31"/>
      <c r="Q6" s="31"/>
      <c r="R6" s="31"/>
      <c r="S6" s="31"/>
      <c r="T6" s="31"/>
      <c r="U6" s="31"/>
      <c r="V6" s="31"/>
      <c r="W6" s="31"/>
      <c r="X6" s="31"/>
      <c r="Y6" s="31"/>
      <c r="Z6" s="32"/>
    </row>
    <row r="7" ht="14.25" customHeight="1">
      <c r="A7" t="s" s="43">
        <v>103</v>
      </c>
      <c r="B7" s="44" cm="1">
        <f t="array" ref="B7">SUM(B2:B6)</f>
        <v>45</v>
      </c>
      <c r="C7" s="42"/>
      <c r="D7" s="31"/>
      <c r="E7" s="31"/>
      <c r="F7" s="31"/>
      <c r="G7" s="31"/>
      <c r="H7" s="31"/>
      <c r="I7" s="31"/>
      <c r="J7" s="31"/>
      <c r="K7" s="31"/>
      <c r="L7" s="31"/>
      <c r="M7" s="31"/>
      <c r="N7" s="31"/>
      <c r="O7" s="31"/>
      <c r="P7" s="31"/>
      <c r="Q7" s="31"/>
      <c r="R7" s="31"/>
      <c r="S7" s="31"/>
      <c r="T7" s="31"/>
      <c r="U7" s="31"/>
      <c r="V7" s="31"/>
      <c r="W7" s="31"/>
      <c r="X7" s="31"/>
      <c r="Y7" s="31"/>
      <c r="Z7" s="32"/>
    </row>
    <row r="8" ht="14.25" customHeight="1">
      <c r="A8" s="27"/>
      <c r="B8" s="28"/>
      <c r="C8" s="31"/>
      <c r="D8" s="31"/>
      <c r="E8" s="31"/>
      <c r="F8" s="31"/>
      <c r="G8" s="31"/>
      <c r="H8" s="31"/>
      <c r="I8" s="31"/>
      <c r="J8" s="31"/>
      <c r="K8" s="31"/>
      <c r="L8" s="31"/>
      <c r="M8" s="31"/>
      <c r="N8" s="31"/>
      <c r="O8" s="31"/>
      <c r="P8" s="31"/>
      <c r="Q8" s="31"/>
      <c r="R8" s="31"/>
      <c r="S8" s="31"/>
      <c r="T8" s="31"/>
      <c r="U8" s="31"/>
      <c r="V8" s="31"/>
      <c r="W8" s="31"/>
      <c r="X8" s="31"/>
      <c r="Y8" s="31"/>
      <c r="Z8" s="32"/>
    </row>
    <row r="9" ht="14.25" customHeight="1">
      <c r="A9" s="30"/>
      <c r="B9" s="31"/>
      <c r="C9" s="31"/>
      <c r="D9" s="31"/>
      <c r="E9" s="31"/>
      <c r="F9" s="31"/>
      <c r="G9" s="31"/>
      <c r="H9" s="31"/>
      <c r="I9" s="31"/>
      <c r="J9" s="31"/>
      <c r="K9" s="31"/>
      <c r="L9" s="31"/>
      <c r="M9" s="31"/>
      <c r="N9" s="31"/>
      <c r="O9" s="31"/>
      <c r="P9" s="31"/>
      <c r="Q9" s="31"/>
      <c r="R9" s="31"/>
      <c r="S9" s="31"/>
      <c r="T9" s="31"/>
      <c r="U9" s="31"/>
      <c r="V9" s="31"/>
      <c r="W9" s="31"/>
      <c r="X9" s="31"/>
      <c r="Y9" s="31"/>
      <c r="Z9" s="32"/>
    </row>
    <row r="10" ht="14.25" customHeight="1">
      <c r="A10" s="34"/>
      <c r="B10" s="35"/>
      <c r="C10" s="35"/>
      <c r="D10" s="35"/>
      <c r="E10" s="35"/>
      <c r="F10" s="35"/>
      <c r="G10" s="35"/>
      <c r="H10" s="35"/>
      <c r="I10" s="35"/>
      <c r="J10" s="35"/>
      <c r="K10" s="35"/>
      <c r="L10" s="35"/>
      <c r="M10" s="35"/>
      <c r="N10" s="35"/>
      <c r="O10" s="35"/>
      <c r="P10" s="35"/>
      <c r="Q10" s="35"/>
      <c r="R10" s="35"/>
      <c r="S10" s="35"/>
      <c r="T10" s="35"/>
      <c r="U10" s="35"/>
      <c r="V10" s="35"/>
      <c r="W10" s="35"/>
      <c r="X10" s="35"/>
      <c r="Y10" s="35"/>
      <c r="Z10" s="45"/>
    </row>
  </sheetData>
  <pageMargins left="0.75" right="0.75" top="1" bottom="1" header="0" footer="0"/>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